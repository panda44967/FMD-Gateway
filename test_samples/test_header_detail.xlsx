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MD Submission Form" sheetId="1" state="visible" r:id="rId1"/>
    <sheet name="Chemical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475569"/>
      <sz val="10"/>
    </font>
    <font>
      <name val="Segoe UI"/>
      <b val="1"/>
      <color rgb="000369A1"/>
      <sz val="11"/>
    </font>
    <font>
      <name val="Segoe UI"/>
      <b val="1"/>
      <sz val="10"/>
    </font>
    <font>
      <name val="Segoe UI"/>
      <b val="1"/>
      <color rgb="000F766E"/>
      <sz val="10"/>
    </font>
    <font>
      <name val="Segoe UI"/>
      <i val="1"/>
      <color rgb="0064748B"/>
      <sz val="9"/>
    </font>
    <font>
      <name val="Segoe UI"/>
      <b val="1"/>
      <color rgb="00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FULL MATERIAL DECLARATION (FMD) SUBMISSION FORM</t>
        </is>
      </c>
    </row>
    <row r="2">
      <c r="A2" s="2" t="inlineStr">
        <is>
          <t>Target Part Number:</t>
        </is>
      </c>
      <c r="B2" s="3" t="inlineStr">
        <is>
          <t>IPN-CASE-004</t>
        </is>
      </c>
      <c r="D2" s="2" t="inlineStr">
        <is>
          <t>Manufacturer MPN:</t>
        </is>
      </c>
      <c r="E2" s="4" t="inlineStr">
        <is>
          <t>FOX-CHAS-ALU-04</t>
        </is>
      </c>
      <c r="G2" s="2" t="inlineStr">
        <is>
          <t>Declaration Tier:</t>
        </is>
      </c>
      <c r="H2" s="5" t="inlineStr">
        <is>
          <t>Full FMD</t>
        </is>
      </c>
    </row>
    <row r="3">
      <c r="A3" s="6" t="inlineStr">
        <is>
          <t>ℹ️ Notice: Target part number is locked in header above. Declare homogeneous materials and chemical substances in table below. Column E autocompletes from CAS.</t>
        </is>
      </c>
    </row>
    <row r="4"/>
    <row r="5" ht="24" customHeight="1">
      <c r="A5" s="7" t="inlineStr">
        <is>
          <t>material_id</t>
        </is>
      </c>
      <c r="B5" s="7" t="inlineStr">
        <is>
          <t>material_name</t>
        </is>
      </c>
      <c r="C5" s="7" t="inlineStr">
        <is>
          <t>material_mass_g</t>
        </is>
      </c>
      <c r="D5" s="7" t="inlineStr">
        <is>
          <t>cas</t>
        </is>
      </c>
      <c r="E5" s="7" t="inlineStr">
        <is>
          <t>substance_name</t>
        </is>
      </c>
      <c r="F5" s="7" t="inlineStr">
        <is>
          <t>concentration_pct</t>
        </is>
      </c>
      <c r="G5" s="7" t="inlineStr">
        <is>
          <t>pfas_intentional_use</t>
        </is>
      </c>
      <c r="H5" s="7" t="inlineStr">
        <is>
          <t>evidence_status</t>
        </is>
      </c>
    </row>
    <row r="6">
      <c r="A6" s="8" t="inlineStr"/>
      <c r="B6" s="8" t="inlineStr"/>
      <c r="C6" s="8" t="inlineStr"/>
      <c r="D6" s="8" t="inlineStr"/>
      <c r="E6" s="8">
        <f>IFERROR(VLOOKUP(D6, 'Chemical Dictionary'!$A:$B, 2, FALSE), "")</f>
        <v/>
      </c>
      <c r="F6" s="8" t="inlineStr"/>
      <c r="G6" s="8" t="inlineStr"/>
      <c r="H6" s="8" t="inlineStr"/>
    </row>
    <row r="7">
      <c r="A7" s="8" t="inlineStr"/>
      <c r="B7" s="8" t="inlineStr"/>
      <c r="C7" s="8" t="inlineStr"/>
      <c r="D7" s="8" t="inlineStr"/>
      <c r="E7" s="8">
        <f>IFERROR(VLOOKUP(D7, 'Chemical Dictionary'!$A:$B, 2, FALSE), "")</f>
        <v/>
      </c>
      <c r="F7" s="8" t="inlineStr"/>
      <c r="G7" s="8" t="inlineStr"/>
      <c r="H7" s="8" t="inlineStr"/>
    </row>
    <row r="8">
      <c r="A8" s="8" t="inlineStr"/>
      <c r="B8" s="8" t="inlineStr"/>
      <c r="C8" s="8" t="inlineStr"/>
      <c r="D8" s="8" t="inlineStr"/>
      <c r="E8" s="8">
        <f>IFERROR(VLOOKUP(D8, 'Chemical Dictionary'!$A:$B, 2, FALSE), "")</f>
        <v/>
      </c>
      <c r="F8" s="8" t="inlineStr"/>
      <c r="G8" s="8" t="inlineStr"/>
      <c r="H8" s="8" t="inlineStr"/>
    </row>
    <row r="9">
      <c r="A9" s="8" t="inlineStr"/>
      <c r="B9" s="8" t="inlineStr"/>
      <c r="C9" s="8" t="inlineStr"/>
      <c r="D9" s="8" t="inlineStr"/>
      <c r="E9" s="8">
        <f>IFERROR(VLOOKUP(D9, 'Chemical Dictionary'!$A:$B, 2, FALSE), "")</f>
        <v/>
      </c>
      <c r="F9" s="8" t="inlineStr"/>
      <c r="G9" s="8" t="inlineStr"/>
      <c r="H9" s="8" t="inlineStr"/>
    </row>
    <row r="10">
      <c r="A10" s="8" t="inlineStr"/>
      <c r="B10" s="8" t="inlineStr"/>
      <c r="C10" s="8" t="inlineStr"/>
      <c r="D10" s="8" t="inlineStr"/>
      <c r="E10" s="8">
        <f>IFERROR(VLOOKUP(D10, 'Chemical Dictionary'!$A:$B, 2, FALSE), "")</f>
        <v/>
      </c>
      <c r="F10" s="8" t="inlineStr"/>
      <c r="G10" s="8" t="inlineStr"/>
      <c r="H10" s="8" t="inlineStr"/>
    </row>
    <row r="11">
      <c r="A11" s="8" t="inlineStr"/>
      <c r="B11" s="8" t="inlineStr"/>
      <c r="C11" s="8" t="inlineStr"/>
      <c r="D11" s="8" t="inlineStr"/>
      <c r="E11" s="8">
        <f>IFERROR(VLOOKUP(D11, 'Chemical Dictionary'!$A:$B, 2, FALSE), "")</f>
        <v/>
      </c>
      <c r="F11" s="8" t="inlineStr"/>
      <c r="G11" s="8" t="inlineStr"/>
      <c r="H11" s="8" t="inlineStr"/>
    </row>
    <row r="12">
      <c r="A12" s="8" t="inlineStr"/>
      <c r="B12" s="8" t="inlineStr"/>
      <c r="C12" s="8" t="inlineStr"/>
      <c r="D12" s="8" t="inlineStr"/>
      <c r="E12" s="8">
        <f>IFERROR(VLOOKUP(D12, 'Chemical Dictionary'!$A:$B, 2, FALSE), "")</f>
        <v/>
      </c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>
        <f>IFERROR(VLOOKUP(D13, 'Chemical Dictionary'!$A:$B, 2, FALSE), "")</f>
        <v/>
      </c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>
        <f>IFERROR(VLOOKUP(D14, 'Chemical Dictionary'!$A:$B, 2, FALSE), "")</f>
        <v/>
      </c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>
        <f>IFERROR(VLOOKUP(D15, 'Chemical Dictionary'!$A:$B, 2, FALSE), "")</f>
        <v/>
      </c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>
        <f>IFERROR(VLOOKUP(D16, 'Chemical Dictionary'!$A:$B, 2, FALSE), "")</f>
        <v/>
      </c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>
        <f>IFERROR(VLOOKUP(D17, 'Chemical Dictionary'!$A:$B, 2, FALSE), "")</f>
        <v/>
      </c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>
        <f>IFERROR(VLOOKUP(D18, 'Chemical Dictionary'!$A:$B, 2, FALSE), "")</f>
        <v/>
      </c>
      <c r="F18" s="8" t="inlineStr"/>
      <c r="G18" s="8" t="inlineStr"/>
      <c r="H18" s="8" t="inlineStr"/>
    </row>
    <row r="19">
      <c r="A19" s="8" t="inlineStr"/>
      <c r="B19" s="8" t="inlineStr"/>
      <c r="C19" s="8" t="inlineStr"/>
      <c r="D19" s="8" t="inlineStr"/>
      <c r="E19" s="8">
        <f>IFERROR(VLOOKUP(D19, 'Chemical Dictionary'!$A:$B, 2, FALSE), "")</f>
        <v/>
      </c>
      <c r="F19" s="8" t="inlineStr"/>
      <c r="G19" s="8" t="inlineStr"/>
      <c r="H19" s="8" t="inlineStr"/>
    </row>
    <row r="20">
      <c r="A20" s="8" t="inlineStr"/>
      <c r="B20" s="8" t="inlineStr"/>
      <c r="C20" s="8" t="inlineStr"/>
      <c r="D20" s="8" t="inlineStr"/>
      <c r="E20" s="8">
        <f>IFERROR(VLOOKUP(D20, 'Chemical Dictionary'!$A:$B, 2, FALSE), "")</f>
        <v/>
      </c>
      <c r="F20" s="8" t="inlineStr"/>
      <c r="G20" s="8" t="inlineStr"/>
      <c r="H20" s="8" t="inlineStr"/>
    </row>
    <row r="21">
      <c r="A21" s="8" t="inlineStr"/>
      <c r="B21" s="8" t="inlineStr"/>
      <c r="C21" s="8" t="inlineStr"/>
      <c r="D21" s="8" t="inlineStr"/>
      <c r="E21" s="8">
        <f>IFERROR(VLOOKUP(D21, 'Chemical Dictionary'!$A:$B, 2, FALSE), "")</f>
        <v/>
      </c>
      <c r="F21" s="8" t="inlineStr"/>
      <c r="G21" s="8" t="inlineStr"/>
      <c r="H21" s="8" t="inlineStr"/>
    </row>
    <row r="22">
      <c r="A22" s="8" t="inlineStr"/>
      <c r="B22" s="8" t="inlineStr"/>
      <c r="C22" s="8" t="inlineStr"/>
      <c r="D22" s="8" t="inlineStr"/>
      <c r="E22" s="8">
        <f>IFERROR(VLOOKUP(D22, 'Chemical Dictionary'!$A:$B, 2, FALSE), "")</f>
        <v/>
      </c>
      <c r="F22" s="8" t="inlineStr"/>
      <c r="G22" s="8" t="inlineStr"/>
      <c r="H22" s="8" t="inlineStr"/>
    </row>
    <row r="23">
      <c r="A23" s="8" t="inlineStr"/>
      <c r="B23" s="8" t="inlineStr"/>
      <c r="C23" s="8" t="inlineStr"/>
      <c r="D23" s="8" t="inlineStr"/>
      <c r="E23" s="8">
        <f>IFERROR(VLOOKUP(D23, 'Chemical Dictionary'!$A:$B, 2, FALSE), "")</f>
        <v/>
      </c>
      <c r="F23" s="8" t="inlineStr"/>
      <c r="G23" s="8" t="inlineStr"/>
      <c r="H23" s="8" t="inlineStr"/>
    </row>
    <row r="24">
      <c r="A24" s="8" t="inlineStr"/>
      <c r="B24" s="8" t="inlineStr"/>
      <c r="C24" s="8" t="inlineStr"/>
      <c r="D24" s="8" t="inlineStr"/>
      <c r="E24" s="8">
        <f>IFERROR(VLOOKUP(D24, 'Chemical Dictionary'!$A:$B, 2, FALSE), "")</f>
        <v/>
      </c>
      <c r="F24" s="8" t="inlineStr"/>
      <c r="G24" s="8" t="inlineStr"/>
      <c r="H24" s="8" t="inlineStr"/>
    </row>
    <row r="25">
      <c r="A25" s="8" t="inlineStr"/>
      <c r="B25" s="8" t="inlineStr"/>
      <c r="C25" s="8" t="inlineStr"/>
      <c r="D25" s="8" t="inlineStr"/>
      <c r="E25" s="8">
        <f>IFERROR(VLOOKUP(D25, 'Chemical Dictionary'!$A:$B, 2, FALSE), "")</f>
        <v/>
      </c>
      <c r="F25" s="8" t="inlineStr"/>
      <c r="G25" s="8" t="inlineStr"/>
      <c r="H25" s="8" t="inlineStr"/>
    </row>
  </sheetData>
  <mergeCells count="2">
    <mergeCell ref="A3:H3"/>
    <mergeCell ref="A1:H1"/>
  </mergeCells>
  <dataValidations count="2">
    <dataValidation sqref="G6:G50" showDropDown="0" showInputMessage="0" showErrorMessage="0" allowBlank="1" type="list">
      <formula1>"No,Yes,Unknown"</formula1>
    </dataValidation>
    <dataValidation sqref="H6:H50" showDropDown="0" showInputMessage="0" showErrorMessage="0" allowBlank="1" type="list">
      <formula1>"Test report,Supplier declaration,SDS,None"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 Number</t>
        </is>
      </c>
      <c r="B1" t="inlineStr">
        <is>
          <t>Official Substance Name</t>
        </is>
      </c>
    </row>
    <row r="2">
      <c r="A2" t="inlineStr">
        <is>
          <t>7440-50-8</t>
        </is>
      </c>
      <c r="B2" t="inlineStr">
        <is>
          <t>Copper (Cu)</t>
        </is>
      </c>
    </row>
    <row r="3">
      <c r="A3" t="inlineStr">
        <is>
          <t>7439-92-1</t>
        </is>
      </c>
      <c r="B3" t="inlineStr">
        <is>
          <t>Lead (Pb)</t>
        </is>
      </c>
    </row>
    <row r="4">
      <c r="A4" t="inlineStr">
        <is>
          <t>7440-31-5</t>
        </is>
      </c>
      <c r="B4" t="inlineStr">
        <is>
          <t>Tin (Sn)</t>
        </is>
      </c>
    </row>
    <row r="5">
      <c r="A5" t="inlineStr">
        <is>
          <t>7440-22-4</t>
        </is>
      </c>
      <c r="B5" t="inlineStr">
        <is>
          <t>Silver (Ag)</t>
        </is>
      </c>
    </row>
    <row r="6">
      <c r="A6" t="inlineStr">
        <is>
          <t>7440-02-0</t>
        </is>
      </c>
      <c r="B6" t="inlineStr">
        <is>
          <t>Nickel (Ni)</t>
        </is>
      </c>
    </row>
    <row r="7">
      <c r="A7" t="inlineStr">
        <is>
          <t>7429-90-5</t>
        </is>
      </c>
      <c r="B7" t="inlineStr">
        <is>
          <t>Aluminium (Al)</t>
        </is>
      </c>
    </row>
    <row r="8">
      <c r="A8" t="inlineStr">
        <is>
          <t>7439-95-4</t>
        </is>
      </c>
      <c r="B8" t="inlineStr">
        <is>
          <t>Magnesium (Mg)</t>
        </is>
      </c>
    </row>
    <row r="9">
      <c r="A9" t="inlineStr">
        <is>
          <t>7440-21-3</t>
        </is>
      </c>
      <c r="B9" t="inlineStr">
        <is>
          <t>Silicon (Si)</t>
        </is>
      </c>
    </row>
    <row r="10">
      <c r="A10" t="inlineStr">
        <is>
          <t>9002-88-4</t>
        </is>
      </c>
      <c r="B10" t="inlineStr">
        <is>
          <t>Polyethylene (PE)</t>
        </is>
      </c>
    </row>
    <row r="11">
      <c r="A11" t="inlineStr">
        <is>
          <t>9003-07-0</t>
        </is>
      </c>
      <c r="B11" t="inlineStr">
        <is>
          <t>Polypropylene (PP)</t>
        </is>
      </c>
    </row>
    <row r="12">
      <c r="A12" t="inlineStr">
        <is>
          <t>9002-84-0</t>
        </is>
      </c>
      <c r="B12" t="inlineStr">
        <is>
          <t>Polytetrafluoroethylene (PTFE)</t>
        </is>
      </c>
    </row>
    <row r="13">
      <c r="A13" t="inlineStr">
        <is>
          <t>308070-21-5</t>
        </is>
      </c>
      <c r="B13" t="inlineStr">
        <is>
          <t>Hydrogenated Styrene-Butadiene Copolymer (SEBS)</t>
        </is>
      </c>
    </row>
    <row r="14">
      <c r="A14" t="inlineStr">
        <is>
          <t>CBI-SYSTEM</t>
        </is>
      </c>
      <c r="B14" t="inlineStr">
        <is>
          <t>Proprietary CBI Ingredient (&lt;10%)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2026-09-04T05:43:48Z</dcterms:created>
  <dcterms:modified xsi:type="dcterms:W3CDTF">2026-09-04T05:43:48Z</dcterms:modified>
</cp:coreProperties>
</file>